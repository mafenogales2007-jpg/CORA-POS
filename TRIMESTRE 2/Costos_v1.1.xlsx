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re" sheetId="1" r:id="rId4"/>
    <sheet state="visible" name="Monitor" sheetId="2" r:id="rId5"/>
    <sheet state="visible" name="Disco Solido" sheetId="3" r:id="rId6"/>
    <sheet state="visible" name="Disco Interno " sheetId="4" r:id="rId7"/>
    <sheet state="visible" name="RAM" sheetId="5" r:id="rId8"/>
    <sheet state="visible" name="Teclado" sheetId="6" r:id="rId9"/>
    <sheet state="visible" name="Mouse" sheetId="7" r:id="rId10"/>
    <sheet state="visible" name="Pistola" sheetId="8" r:id="rId11"/>
    <sheet state="visible" name="Cajon" sheetId="9" r:id="rId12"/>
    <sheet state="visible" name="Licencia Software" sheetId="10" r:id="rId13"/>
    <sheet state="visible" name="Windows 11" sheetId="11" r:id="rId14"/>
    <sheet state="visible" name="Licencia SQL" sheetId="12" r:id="rId15"/>
    <sheet state="visible" name="Total" sheetId="13" r:id="rId16"/>
  </sheets>
  <definedNames/>
  <calcPr/>
  <extLst>
    <ext uri="GoogleSheetsCustomDataVersion2">
      <go:sheetsCustomData xmlns:go="http://customooxmlschemas.google.com/" r:id="rId17" roundtripDataChecksum="Z/dqWY3UdesoMBf5nh8QVaZPzuE9poBDTmWNDKOTwRs="/>
    </ext>
  </extLst>
</workbook>
</file>

<file path=xl/sharedStrings.xml><?xml version="1.0" encoding="utf-8"?>
<sst xmlns="http://schemas.openxmlformats.org/spreadsheetml/2006/main" count="433" uniqueCount="174">
  <si>
    <t xml:space="preserve">Presupuestos (a)
</t>
  </si>
  <si>
    <t>Empresa
(Nombre fiscal de la empresa)</t>
  </si>
  <si>
    <t>Nº de CUIT, Dirección, Teléfono
(Datos de la empresa)</t>
  </si>
  <si>
    <t>Descripción del
bien/ servicio (b)
Características de los bienes/ servicios</t>
  </si>
  <si>
    <t>Importe Unitario
(moneda nacional)</t>
  </si>
  <si>
    <t>Importe Total
IVA incluido
(moneda nacional)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</si>
  <si>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</si>
  <si>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Tipo de cambio</t>
  </si>
  <si>
    <t>Forma de Pago 
(Contado o Cheque)</t>
  </si>
  <si>
    <t>Observaciones 
(se debe incluir toda aquella característica que no ha sido posible incluir anteriormente)</t>
  </si>
  <si>
    <t>Nº 1</t>
  </si>
  <si>
    <t>MercadoLibre / CompuYA</t>
  </si>
  <si>
    <t>Colombia – Tienda online</t>
  </si>
  <si>
    <t>Computador de gran alcance con procesador Intel Core i5, acondicionado para ejecutar multitareas administrativas, domésticas, educativas e interactivas a gran velocidad.</t>
  </si>
  <si>
    <t>$95 USD aprox</t>
  </si>
  <si>
    <t>1 USD ≈ 3900 COP</t>
  </si>
  <si>
    <t>Contado</t>
  </si>
  <si>
    <t>Torre usada, 8GB RAM, SSD 240GB</t>
  </si>
  <si>
    <t>Nº2</t>
  </si>
  <si>
    <t>MercadoLibre</t>
  </si>
  <si>
    <t>Colombia – Distribuidor tecnológico</t>
  </si>
  <si>
    <t>Torre CPU Intel Core i5 4ª generación, ideal para oficina, sistema POS y tareas administrativas</t>
  </si>
  <si>
    <t>$320 USD aprox</t>
  </si>
  <si>
    <t>8GB RAM, SSD 480GB, mejor rendimiento</t>
  </si>
  <si>
    <t>Nº 3</t>
  </si>
  <si>
    <t>Janus / Compulago</t>
  </si>
  <si>
    <t>Colombia – Tienda tecnológica</t>
  </si>
  <si>
    <t>Torre CPU Intel Core i5 10ª generación, alto rendimiento para software empresarial y multitarea</t>
  </si>
  <si>
    <t>$487 USD aprox</t>
  </si>
  <si>
    <t>Equipo nuevo, 8GB RAM, 512GB SSD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</si>
  <si>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</si>
  <si>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MercadoLibre / Genérico</t>
  </si>
  <si>
    <t>Monitor LED 22” Full HD, adecuado para tareas administrativas, educativas y uso en sistemas POS</t>
  </si>
  <si>
    <t>$67 USD aprox</t>
  </si>
  <si>
    <t>Equipo básico, 60Hz, HDMI/VGA</t>
  </si>
  <si>
    <t>AOC / acer</t>
  </si>
  <si>
    <t>Monitor 22” Full HD con mejor calidad de imagen, ideal para oficina, inventario y ventas</t>
  </si>
  <si>
    <t>$82 USD aprox</t>
  </si>
  <si>
    <t>75Hz–100Hz, mejor rendimiento visual</t>
  </si>
  <si>
    <t>LG / Samsung</t>
  </si>
  <si>
    <t>Monitor 22” Full HD de alta calidad, recomendado para uso empresarial y Digital POS</t>
  </si>
  <si>
    <t>$103 USD aprox</t>
  </si>
  <si>
    <t>Nuevo, mejor durabilidad y garantía</t>
  </si>
  <si>
    <r>
      <rPr>
        <rFont val="Arial"/>
        <b/>
        <color rgb="FF000000"/>
        <sz val="10.0"/>
      </rPr>
      <t>Empresa</t>
    </r>
    <r>
      <rPr>
        <rFont val="Arial"/>
        <b/>
        <i/>
        <color rgb="FF000000"/>
        <sz val="10.0"/>
      </rPr>
      <t xml:space="preserve">
(Nombre fiscal de la empresa)</t>
    </r>
  </si>
  <si>
    <r>
      <rPr>
        <rFont val="Arial"/>
        <b/>
        <color rgb="FF000000"/>
        <sz val="10.0"/>
      </rPr>
      <t>Nº de CUIT, Dirección, Teléfono</t>
    </r>
    <r>
      <rPr>
        <rFont val="Arial"/>
        <b/>
        <i/>
        <color rgb="FF000000"/>
        <sz val="10.0"/>
      </rPr>
      <t xml:space="preserve">
(Datos de la empresa)</t>
    </r>
  </si>
  <si>
    <r>
      <rPr>
        <rFont val="Arial"/>
        <b/>
        <color rgb="FF000000"/>
        <sz val="10.0"/>
      </rPr>
      <t>Descripción del
bien/ servicio (b)</t>
    </r>
    <r>
      <rPr>
        <rFont val="Arial"/>
        <b/>
        <i/>
        <color rgb="FF000000"/>
        <sz val="10.0"/>
      </rPr>
      <t xml:space="preserve">
Características de los bienes/ servicios</t>
    </r>
  </si>
  <si>
    <r>
      <rPr>
        <rFont val="Arial"/>
        <b/>
        <color rgb="FF000000"/>
        <sz val="10.0"/>
      </rPr>
      <t xml:space="preserve">Importe Unitario
</t>
    </r>
    <r>
      <rPr>
        <rFont val="Arial"/>
        <b/>
        <i/>
        <color rgb="FF000000"/>
        <sz val="10.0"/>
      </rPr>
      <t>(moneda nacional)</t>
    </r>
  </si>
  <si>
    <r>
      <rPr>
        <rFont val="Arial"/>
        <b/>
        <color rgb="FF000000"/>
        <sz val="10.0"/>
        <u/>
      </rPr>
      <t xml:space="preserve">Importe Total
IVA incluido
</t>
    </r>
    <r>
      <rPr>
        <rFont val="Arial"/>
        <b/>
        <i/>
        <color rgb="FF000000"/>
        <sz val="10.0"/>
        <u/>
      </rPr>
      <t>(moneda nacional)</t>
    </r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</si>
  <si>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10.0"/>
      </rPr>
      <t>(moneda extranjera)</t>
    </r>
  </si>
  <si>
    <r>
      <rPr>
        <rFont val="Arial"/>
        <b/>
        <color rgb="FF000000"/>
        <sz val="10.0"/>
      </rPr>
      <t xml:space="preserve">Forma de Pago 
</t>
    </r>
    <r>
      <rPr>
        <rFont val="Arial"/>
        <b/>
        <i/>
        <color rgb="FF000000"/>
        <sz val="10.0"/>
      </rPr>
      <t>(Contado o Cheque)</t>
    </r>
  </si>
  <si>
    <r>
      <rPr>
        <rFont val="Arial"/>
        <b/>
        <color rgb="FF000000"/>
        <sz val="10.0"/>
      </rPr>
      <t xml:space="preserve">Observaciones </t>
    </r>
    <r>
      <rPr>
        <rFont val="Arial"/>
        <b/>
        <i/>
        <color rgb="FF000000"/>
        <sz val="10.0"/>
      </rPr>
      <t xml:space="preserve">
(se debe incluir toda aquella característica que no ha sido posible incluir anteriormente)</t>
    </r>
  </si>
  <si>
    <t>Komputech / Genérico</t>
  </si>
  <si>
    <t>Disco duro sólido (SSD) 240GB, ideal para mejorar velocidad en sistemas administrativos, educativos y POS</t>
  </si>
  <si>
    <t>$36 USD aprox</t>
  </si>
  <si>
    <t>Velocidad hasta 500MB/s, SATA</t>
  </si>
  <si>
    <t>Kingston / ADATA</t>
  </si>
  <si>
    <t>SSD 480GB, mayor capacidad y mejor rendimiento para multitarea y almacenamiento empresarial</t>
  </si>
  <si>
    <t>$72 USD aprox</t>
  </si>
  <si>
    <t>480GB, recomendado para sistemas POS</t>
  </si>
  <si>
    <t>Kingston / SanDisk</t>
  </si>
  <si>
    <t>Mayor durabilidad, mejor marca y garantía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</si>
  <si>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</si>
  <si>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Movinet / Genérico</t>
  </si>
  <si>
    <t>Disco duro interno 500GB SATA, adecuado para almacenamiento básico en sistemas administrativos y educativos</t>
  </si>
  <si>
    <t>$21 USD aprox</t>
  </si>
  <si>
    <t>500GB, 5400–7200 RPM</t>
  </si>
  <si>
    <t>Seagate / Dasa Technology</t>
  </si>
  <si>
    <t>Disco duro interno 1TB SATA, ideal para almacenamiento de datos, inventario y uso en sistemas POS</t>
  </si>
  <si>
    <t>$46 USD aprox</t>
  </si>
  <si>
    <t>1TB, 7200 RPM, mejor rendimiento</t>
  </si>
  <si>
    <t>Western Digital</t>
  </si>
  <si>
    <t>Disco duro interno 1TB de alta calidad, diseñado para uso continuo y empresarial</t>
  </si>
  <si>
    <t>$56 USD aprox</t>
  </si>
  <si>
    <t>Mayor durabilidad y garantía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</si>
  <si>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</si>
  <si>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Genérico / ADATA</t>
  </si>
  <si>
    <t>Memoria RAM 8GB DDR4, adecuada para tareas administrativas, educativas y sistemas básicos POS</t>
  </si>
  <si>
    <t>$31 USD aprox</t>
  </si>
  <si>
    <t>8GB, 2666–3200MHz</t>
  </si>
  <si>
    <t>Kingston / Crucial</t>
  </si>
  <si>
    <t>Memoria RAM 16GB DDR4, ideal para multitarea, inventario y uso empresarial en sistemas POS</t>
  </si>
  <si>
    <t>Mejor rendimiento, recomendada</t>
  </si>
  <si>
    <t>ADATA / DTECHCO</t>
  </si>
  <si>
    <t>Memoria RAM 16GB DDR4 de alta velocidad, diseñada para alto rendimiento en software empresarial y múltiples usuarios</t>
  </si>
  <si>
    <t>$97 USD aprox</t>
  </si>
  <si>
    <t>3200MHz, mayor estabilidad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</si>
  <si>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</si>
  <si>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Genérico / Genius</t>
  </si>
  <si>
    <t>Teclado USB básico en español, adecuado para tareas administrativas, educativas y sistemas POS</t>
  </si>
  <si>
    <t>Teclado de membrana, conexión USB</t>
  </si>
  <si>
    <t>Logitech / Esenses</t>
  </si>
  <si>
    <t>Teclado USB de mejor calidad, ideal para oficina, ventas e inventario</t>
  </si>
  <si>
    <t>Resistente, mayor durabilidad</t>
  </si>
  <si>
    <t>Logitech / HP</t>
  </si>
  <si>
    <t>Teclado profesional USB, diseñado para uso continuo en empresas y sistemas POS</t>
  </si>
  <si>
    <t>Alta durabilidad, mejor ergonomía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</si>
  <si>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</si>
  <si>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Mouse USB óptico básico, adecuado para tareas administrativas, educativas y sistemas POS</t>
  </si>
  <si>
    <t>$5 USD aprox</t>
  </si>
  <si>
    <t>1000 DPI, conexión USB</t>
  </si>
  <si>
    <t>Logitech / Genius</t>
  </si>
  <si>
    <t>Mouse USB de mejor calidad, ideal para oficina, ventas e inventario</t>
  </si>
  <si>
    <t>$9 USD aprox</t>
  </si>
  <si>
    <t>Mayor durabilidad, mejor precisión</t>
  </si>
  <si>
    <t>Mouse inalámbrico profesional, diseñado para uso continuo en empresas y sistemas POS</t>
  </si>
  <si>
    <t>Inalámbrico, mejor ergonomía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</si>
  <si>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</si>
  <si>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Genérico / 3nStar</t>
  </si>
  <si>
    <t>Escáner de código de barras tipo pistola 1D, adecuado para lectura básica en sistemas POS y ventas</t>
  </si>
  <si>
    <t>$26 USD aprox</t>
  </si>
  <si>
    <t>USB, lectura rápida, uso básico</t>
  </si>
  <si>
    <t>Digital POS / SAT</t>
  </si>
  <si>
    <t>Escáner de código de barras 1D/2D, ideal para inventario, ventas y sistemas POS modernos</t>
  </si>
  <si>
    <t>Lee QR, mayor precisión</t>
  </si>
  <si>
    <t>Zebra / Honeywell</t>
  </si>
  <si>
    <t>Escáner profesional tipo pistola 2D, diseñado para uso continuo en empresas y supermercados</t>
  </si>
  <si>
    <t>$128 USD aprox</t>
  </si>
  <si>
    <t>Alta durabilidad, uso intensivo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</si>
  <si>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</si>
  <si>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Genérico / Digital POS</t>
  </si>
  <si>
    <t>Cajón monedero básico para sistema POS, permite organizar dinero en billetes y monedas</t>
  </si>
  <si>
    <t>4–5 compartimientos, apertura manual</t>
  </si>
  <si>
    <t>SAT / 3nStar</t>
  </si>
  <si>
    <t>Cajón monedero electrónico, ideal para ventas, inventario y control de efectivo en sistemas POS</t>
  </si>
  <si>
    <t>Apertura automática, conexión RJ11</t>
  </si>
  <si>
    <t>Digital POS / Jaltech</t>
  </si>
  <si>
    <t>Cajón monedero profesional, diseñado para uso continuo en supermercados y negocios</t>
  </si>
  <si>
    <t>$64 USD aprox</t>
  </si>
  <si>
    <t>Alta resistencia, riel metálico, uso intensivo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</si>
  <si>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</si>
  <si>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Genérico / Software POS básico</t>
  </si>
  <si>
    <t>Colombia – Tienda digital</t>
  </si>
  <si>
    <t>Licencia de software POS básico sin facturación electrónica, permite control de ventas simples e inventario</t>
  </si>
  <si>
    <t>Versión simple, ideal para proyecto</t>
  </si>
  <si>
    <t>Facil POS / Software Colombia</t>
  </si>
  <si>
    <t>Software POS sin facturación electrónica, ideal para control de ventas, inventario y reportes básicos</t>
  </si>
  <si>
    <t>Uso local, sin conexión obligatoria</t>
  </si>
  <si>
    <t xml:space="preserve">Microsoft / Software POS profesional </t>
  </si>
  <si>
    <t>Software POS completo sin facturación electrónica, diseñado para uso empresarial y múltiples usuarios</t>
  </si>
  <si>
    <t>$308 USD aprox</t>
  </si>
  <si>
    <t>Licencia completa, soporte incluido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</si>
  <si>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</si>
  <si>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Genérico / Licencias digitales</t>
  </si>
  <si>
    <t>Licencia Windows 11 Home/Pro básica para instalación de sistema operativo en equipos de uso administrativo y educativo</t>
  </si>
  <si>
    <t>$13 USD aprox</t>
  </si>
  <si>
    <t>Licencia OEM digital, sin soporte</t>
  </si>
  <si>
    <t>Distribuidor tecnológico</t>
  </si>
  <si>
    <t>tecnológico
Colombia – Venta digital</t>
  </si>
  <si>
    <t>Licencia Windows 11 Pro, permite uso completo del sistema operativo para software POS y aplicaciones empresariales</t>
  </si>
  <si>
    <t>$38 USD aprox</t>
  </si>
  <si>
    <t>Licencia permanente para 1 PC</t>
  </si>
  <si>
    <t>Microsoft / Tienda oficial</t>
  </si>
  <si>
    <t>Licencia Windows 11 Pro oficial, diseñada para uso empresarial con soporte y actualizaciones</t>
  </si>
  <si>
    <t>$192 USD aprox</t>
  </si>
  <si>
    <t>Licencia original con garantía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</si>
  <si>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</si>
  <si>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Licencia SQL Server básica para gestión de base de datos en sistemas POS y proyectos académicos</t>
  </si>
  <si>
    <t>Licencia digital, sin soporte</t>
  </si>
  <si>
    <t>Colombia – Venta digital</t>
  </si>
  <si>
    <t>Licencia SQL Server Standard para manejo de bases de datos, inventario y ventas en sistemas empresariales</t>
  </si>
  <si>
    <t>$154 USD aprox</t>
  </si>
  <si>
    <t>Incluye acceso multiusuario básico</t>
  </si>
  <si>
    <t>Microsoft / Distribuidor oficial</t>
  </si>
  <si>
    <t>Licencia SQL Server Enterprise/Standard completa para uso empresarial, alto rendimiento y múltiples usuarios</t>
  </si>
  <si>
    <t>$385 USD aprox</t>
  </si>
  <si>
    <t>Licencia profesional, mayor capacidad</t>
  </si>
  <si>
    <r>
      <rPr>
        <rFont val="Arial"/>
        <b/>
        <color rgb="FF000000"/>
        <sz val="10.0"/>
      </rPr>
      <t xml:space="preserve">Importe Total
</t>
    </r>
    <r>
      <rPr>
        <rFont val="Arial"/>
        <b/>
        <i/>
        <color rgb="FF000000"/>
        <sz val="8.0"/>
      </rPr>
      <t>(moneda extranjera)</t>
    </r>
  </si>
  <si>
    <t>Costo de desarrolladores (Salario)</t>
  </si>
  <si>
    <t>Costo de desarrollador Lider (Salario)</t>
  </si>
  <si>
    <t>Costo Total (desarrollo+cotizacion)</t>
  </si>
  <si>
    <t>Total</t>
  </si>
  <si>
    <t>413.33 USD aprox</t>
  </si>
  <si>
    <t>$1052.48 USD aprox</t>
  </si>
  <si>
    <t>$2099.48 USD aprox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</si>
</sst>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;[Red]\-&quot;$&quot;\ #,##0"/>
    <numFmt numFmtId="165" formatCode="&quot;$&quot;#,##0.00"/>
  </numFmts>
  <fonts count="12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theme="1"/>
      <name val="Trebuchet MS"/>
    </font>
    <font>
      <b/>
      <u/>
      <sz val="10.0"/>
      <color theme="1"/>
      <name val="Trebuchet MS"/>
    </font>
    <font>
      <b/>
      <sz val="10.0"/>
      <color rgb="FF000000"/>
      <name val="Arial"/>
    </font>
    <font>
      <sz val="10.0"/>
      <color theme="1"/>
      <name val="Arial"/>
    </font>
    <font>
      <sz val="10.0"/>
      <color theme="1"/>
      <name val="Trebuchet MS"/>
    </font>
    <font>
      <u/>
      <sz val="10.0"/>
      <color theme="1"/>
      <name val="Trebuchet MS"/>
    </font>
    <font>
      <sz val="10.0"/>
      <color theme="1"/>
      <name val="Proxima Nova"/>
    </font>
    <font>
      <b/>
      <u/>
      <sz val="10.0"/>
      <color rgb="FF000000"/>
      <name val="Arial"/>
    </font>
    <font>
      <u/>
      <sz val="10.0"/>
      <color theme="1"/>
      <name val="Arial"/>
    </font>
    <font>
      <sz val="10.0"/>
      <color rgb="FF333E4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5" fontId="5" numFmtId="0" xfId="0" applyAlignment="1" applyBorder="1" applyFill="1" applyFont="1">
      <alignment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6" fontId="5" numFmtId="0" xfId="0" applyAlignment="1" applyBorder="1" applyFill="1" applyFont="1">
      <alignment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5" fontId="5" numFmtId="164" xfId="0" applyAlignment="1" applyBorder="1" applyFont="1" applyNumberForma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5" xfId="0" applyAlignment="1" applyBorder="1" applyFont="1" applyNumberFormat="1">
      <alignment horizontal="center" readingOrder="0" shrinkToFit="0" vertical="center" wrapText="1"/>
    </xf>
    <xf borderId="6" fillId="0" fontId="5" numFmtId="165" xfId="0" applyAlignment="1" applyBorder="1" applyFont="1" applyNumberForma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0.14"/>
    <col customWidth="1" min="3" max="3" width="19.14"/>
    <col customWidth="1" min="4" max="4" width="30.57"/>
    <col customWidth="1" min="5" max="5" width="20.29"/>
    <col customWidth="1" min="6" max="6" width="23.29"/>
    <col customWidth="1" min="7" max="7" width="16.57"/>
    <col customWidth="1" min="8" max="8" width="16.0"/>
    <col customWidth="1" min="9" max="9" width="12.86"/>
    <col customWidth="1" min="10" max="10" width="22.43"/>
    <col customWidth="1" min="11" max="26" width="10.71"/>
  </cols>
  <sheetData>
    <row r="1" ht="137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</row>
    <row r="2" ht="90.75" customHeight="1">
      <c r="A2" s="5" t="s">
        <v>10</v>
      </c>
      <c r="B2" s="6" t="s">
        <v>11</v>
      </c>
      <c r="C2" s="6" t="s">
        <v>12</v>
      </c>
      <c r="D2" s="7" t="s">
        <v>13</v>
      </c>
      <c r="E2" s="8">
        <v>370000.0</v>
      </c>
      <c r="F2" s="8">
        <v>370000.0</v>
      </c>
      <c r="G2" s="9" t="s">
        <v>14</v>
      </c>
      <c r="H2" s="10" t="s">
        <v>15</v>
      </c>
      <c r="I2" s="11" t="s">
        <v>16</v>
      </c>
      <c r="J2" s="12" t="s">
        <v>17</v>
      </c>
    </row>
    <row r="3" ht="81.75" customHeight="1">
      <c r="A3" s="5" t="s">
        <v>18</v>
      </c>
      <c r="B3" s="6" t="s">
        <v>19</v>
      </c>
      <c r="C3" s="6" t="s">
        <v>20</v>
      </c>
      <c r="D3" s="7" t="s">
        <v>21</v>
      </c>
      <c r="E3" s="8">
        <v>1250000.0</v>
      </c>
      <c r="F3" s="8">
        <v>1250000.0</v>
      </c>
      <c r="G3" s="9" t="s">
        <v>22</v>
      </c>
      <c r="H3" s="10" t="s">
        <v>15</v>
      </c>
      <c r="I3" s="11" t="s">
        <v>16</v>
      </c>
      <c r="J3" s="7" t="s">
        <v>23</v>
      </c>
    </row>
    <row r="4" ht="69.75" customHeight="1">
      <c r="A4" s="5" t="s">
        <v>24</v>
      </c>
      <c r="B4" s="6" t="s">
        <v>25</v>
      </c>
      <c r="C4" s="6" t="s">
        <v>26</v>
      </c>
      <c r="D4" s="7" t="s">
        <v>27</v>
      </c>
      <c r="E4" s="8">
        <v>1900000.0</v>
      </c>
      <c r="F4" s="8">
        <v>1900000.0</v>
      </c>
      <c r="G4" s="9" t="s">
        <v>28</v>
      </c>
      <c r="H4" s="10" t="s">
        <v>15</v>
      </c>
      <c r="I4" s="11" t="s">
        <v>16</v>
      </c>
      <c r="J4" s="7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0.71"/>
    <col customWidth="1" min="3" max="3" width="18.29"/>
    <col customWidth="1" min="4" max="4" width="22.0"/>
    <col customWidth="1" min="5" max="5" width="20.86"/>
    <col customWidth="1" min="6" max="6" width="20.43"/>
    <col customWidth="1" min="7" max="7" width="20.86"/>
    <col customWidth="1" min="8" max="8" width="20.29"/>
    <col customWidth="1" min="9" max="9" width="21.86"/>
    <col customWidth="1" min="10" max="10" width="18.14"/>
    <col customWidth="1" min="11" max="26" width="10.71"/>
  </cols>
  <sheetData>
    <row r="1" ht="11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30</v>
      </c>
      <c r="H1" s="2" t="s">
        <v>7</v>
      </c>
      <c r="I1" s="2" t="s">
        <v>8</v>
      </c>
      <c r="J1" s="2" t="s">
        <v>9</v>
      </c>
    </row>
    <row r="2" ht="87.75" customHeight="1">
      <c r="A2" s="5" t="s">
        <v>10</v>
      </c>
      <c r="B2" s="11" t="s">
        <v>31</v>
      </c>
      <c r="C2" s="11" t="s">
        <v>12</v>
      </c>
      <c r="D2" s="7" t="s">
        <v>32</v>
      </c>
      <c r="E2" s="8">
        <v>260000.0</v>
      </c>
      <c r="F2" s="8">
        <v>260000.0</v>
      </c>
      <c r="G2" s="9" t="s">
        <v>33</v>
      </c>
      <c r="H2" s="10" t="s">
        <v>15</v>
      </c>
      <c r="I2" s="11" t="s">
        <v>16</v>
      </c>
      <c r="J2" s="12" t="s">
        <v>34</v>
      </c>
    </row>
    <row r="3" ht="75.75" customHeight="1">
      <c r="A3" s="5" t="s">
        <v>18</v>
      </c>
      <c r="B3" s="6" t="s">
        <v>35</v>
      </c>
      <c r="C3" s="11" t="s">
        <v>20</v>
      </c>
      <c r="D3" s="7" t="s">
        <v>36</v>
      </c>
      <c r="E3" s="8">
        <v>320000.0</v>
      </c>
      <c r="F3" s="8">
        <v>320000.0</v>
      </c>
      <c r="G3" s="9" t="s">
        <v>37</v>
      </c>
      <c r="H3" s="10" t="s">
        <v>15</v>
      </c>
      <c r="I3" s="11" t="s">
        <v>16</v>
      </c>
      <c r="J3" s="7" t="s">
        <v>38</v>
      </c>
    </row>
    <row r="4" ht="84.75" customHeight="1">
      <c r="A4" s="5" t="s">
        <v>24</v>
      </c>
      <c r="B4" s="6" t="s">
        <v>39</v>
      </c>
      <c r="C4" s="11" t="s">
        <v>26</v>
      </c>
      <c r="D4" s="7" t="s">
        <v>40</v>
      </c>
      <c r="E4" s="8">
        <v>400000.0</v>
      </c>
      <c r="F4" s="8">
        <v>400000.0</v>
      </c>
      <c r="G4" s="9" t="s">
        <v>41</v>
      </c>
      <c r="H4" s="10" t="s">
        <v>15</v>
      </c>
      <c r="I4" s="11" t="s">
        <v>16</v>
      </c>
      <c r="J4" s="7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0.0"/>
    <col customWidth="1" min="3" max="3" width="22.14"/>
    <col customWidth="1" min="4" max="4" width="27.43"/>
    <col customWidth="1" min="5" max="5" width="17.0"/>
    <col customWidth="1" min="6" max="6" width="19.0"/>
    <col customWidth="1" min="7" max="7" width="21.0"/>
    <col customWidth="1" min="8" max="8" width="17.29"/>
    <col customWidth="1" min="9" max="9" width="18.14"/>
    <col customWidth="1" min="10" max="10" width="17.43"/>
    <col customWidth="1" min="11" max="26" width="10.71"/>
  </cols>
  <sheetData>
    <row r="1" ht="113.25" customHeight="1">
      <c r="A1" s="1" t="s">
        <v>0</v>
      </c>
      <c r="B1" s="13" t="s">
        <v>43</v>
      </c>
      <c r="C1" s="13" t="s">
        <v>44</v>
      </c>
      <c r="D1" s="13" t="s">
        <v>45</v>
      </c>
      <c r="E1" s="13" t="s">
        <v>46</v>
      </c>
      <c r="F1" s="14" t="s">
        <v>47</v>
      </c>
      <c r="G1" s="4" t="s">
        <v>48</v>
      </c>
      <c r="H1" s="15" t="s">
        <v>7</v>
      </c>
      <c r="I1" s="13" t="s">
        <v>49</v>
      </c>
      <c r="J1" s="13" t="s">
        <v>50</v>
      </c>
    </row>
    <row r="2" ht="84.0" customHeight="1">
      <c r="A2" s="5" t="s">
        <v>10</v>
      </c>
      <c r="B2" s="6" t="s">
        <v>51</v>
      </c>
      <c r="C2" s="6" t="s">
        <v>26</v>
      </c>
      <c r="D2" s="6" t="s">
        <v>52</v>
      </c>
      <c r="E2" s="8">
        <v>140000.0</v>
      </c>
      <c r="F2" s="8">
        <v>140000.0</v>
      </c>
      <c r="G2" s="11" t="s">
        <v>53</v>
      </c>
      <c r="H2" s="16" t="s">
        <v>15</v>
      </c>
      <c r="I2" s="11" t="s">
        <v>16</v>
      </c>
      <c r="J2" s="7" t="s">
        <v>54</v>
      </c>
    </row>
    <row r="3" ht="64.5" customHeight="1">
      <c r="A3" s="5" t="s">
        <v>18</v>
      </c>
      <c r="B3" s="6" t="s">
        <v>55</v>
      </c>
      <c r="C3" s="7" t="s">
        <v>20</v>
      </c>
      <c r="D3" s="7" t="s">
        <v>56</v>
      </c>
      <c r="E3" s="8">
        <v>280000.0</v>
      </c>
      <c r="F3" s="8">
        <v>280000.0</v>
      </c>
      <c r="G3" s="11" t="s">
        <v>57</v>
      </c>
      <c r="H3" s="16" t="s">
        <v>15</v>
      </c>
      <c r="I3" s="11" t="s">
        <v>16</v>
      </c>
      <c r="J3" s="17" t="s">
        <v>58</v>
      </c>
    </row>
    <row r="4" ht="75.0" customHeight="1">
      <c r="A4" s="5" t="s">
        <v>24</v>
      </c>
      <c r="B4" s="6" t="s">
        <v>59</v>
      </c>
      <c r="C4" s="6" t="s">
        <v>26</v>
      </c>
      <c r="D4" s="7" t="s">
        <v>56</v>
      </c>
      <c r="E4" s="8">
        <v>400000.0</v>
      </c>
      <c r="F4" s="8">
        <v>400000.0</v>
      </c>
      <c r="G4" s="11" t="s">
        <v>41</v>
      </c>
      <c r="H4" s="16" t="s">
        <v>15</v>
      </c>
      <c r="I4" s="11" t="s">
        <v>16</v>
      </c>
      <c r="J4" s="17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8.0"/>
    <col customWidth="1" min="3" max="3" width="22.71"/>
    <col customWidth="1" min="4" max="4" width="23.14"/>
    <col customWidth="1" min="5" max="5" width="18.14"/>
    <col customWidth="1" min="6" max="6" width="17.43"/>
    <col customWidth="1" min="7" max="7" width="18.29"/>
    <col customWidth="1" min="8" max="8" width="20.43"/>
    <col customWidth="1" min="9" max="9" width="18.71"/>
    <col customWidth="1" min="10" max="10" width="21.29"/>
    <col customWidth="1" min="11" max="26" width="10.71"/>
  </cols>
  <sheetData>
    <row r="1" ht="11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61</v>
      </c>
      <c r="H1" s="2" t="s">
        <v>7</v>
      </c>
      <c r="I1" s="2" t="s">
        <v>8</v>
      </c>
      <c r="J1" s="2" t="s">
        <v>9</v>
      </c>
    </row>
    <row r="2" ht="97.5" customHeight="1">
      <c r="A2" s="5" t="s">
        <v>10</v>
      </c>
      <c r="B2" s="11" t="s">
        <v>62</v>
      </c>
      <c r="C2" s="11" t="s">
        <v>26</v>
      </c>
      <c r="D2" s="18" t="s">
        <v>63</v>
      </c>
      <c r="E2" s="19">
        <v>80000.0</v>
      </c>
      <c r="F2" s="19">
        <v>80000.0</v>
      </c>
      <c r="G2" s="11" t="s">
        <v>64</v>
      </c>
      <c r="H2" s="16" t="s">
        <v>15</v>
      </c>
      <c r="I2" s="11" t="s">
        <v>16</v>
      </c>
      <c r="J2" s="18" t="s">
        <v>65</v>
      </c>
    </row>
    <row r="3" ht="88.5" customHeight="1">
      <c r="A3" s="5" t="s">
        <v>18</v>
      </c>
      <c r="B3" s="11" t="s">
        <v>66</v>
      </c>
      <c r="C3" s="11" t="s">
        <v>20</v>
      </c>
      <c r="D3" s="18" t="s">
        <v>67</v>
      </c>
      <c r="E3" s="19">
        <v>180000.0</v>
      </c>
      <c r="F3" s="19">
        <v>180000.0</v>
      </c>
      <c r="G3" s="11" t="s">
        <v>68</v>
      </c>
      <c r="H3" s="16" t="s">
        <v>15</v>
      </c>
      <c r="I3" s="11" t="s">
        <v>16</v>
      </c>
      <c r="J3" s="18" t="s">
        <v>69</v>
      </c>
    </row>
    <row r="4" ht="88.5" customHeight="1">
      <c r="A4" s="5" t="s">
        <v>24</v>
      </c>
      <c r="B4" s="11" t="s">
        <v>70</v>
      </c>
      <c r="C4" s="11" t="s">
        <v>26</v>
      </c>
      <c r="D4" s="11" t="s">
        <v>71</v>
      </c>
      <c r="E4" s="8">
        <v>220000.0</v>
      </c>
      <c r="F4" s="8">
        <v>220000.0</v>
      </c>
      <c r="G4" s="11" t="s">
        <v>72</v>
      </c>
      <c r="H4" s="16" t="s">
        <v>15</v>
      </c>
      <c r="I4" s="11" t="s">
        <v>16</v>
      </c>
      <c r="J4" s="11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0.86"/>
    <col customWidth="1" min="3" max="3" width="21.29"/>
    <col customWidth="1" min="4" max="4" width="24.43"/>
    <col customWidth="1" min="5" max="5" width="18.71"/>
    <col customWidth="1" min="6" max="6" width="18.29"/>
    <col customWidth="1" min="7" max="7" width="18.57"/>
    <col customWidth="1" min="8" max="8" width="17.86"/>
    <col customWidth="1" min="9" max="9" width="19.86"/>
    <col customWidth="1" min="10" max="10" width="21.71"/>
    <col customWidth="1" min="11" max="26" width="10.71"/>
  </cols>
  <sheetData>
    <row r="1" ht="11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74</v>
      </c>
      <c r="H1" s="2" t="s">
        <v>7</v>
      </c>
      <c r="I1" s="2" t="s">
        <v>8</v>
      </c>
      <c r="J1" s="2" t="s">
        <v>9</v>
      </c>
    </row>
    <row r="2" ht="65.25" customHeight="1">
      <c r="A2" s="5" t="s">
        <v>10</v>
      </c>
      <c r="B2" s="11" t="s">
        <v>75</v>
      </c>
      <c r="C2" s="11" t="s">
        <v>26</v>
      </c>
      <c r="D2" s="11" t="s">
        <v>76</v>
      </c>
      <c r="E2" s="8">
        <v>120000.0</v>
      </c>
      <c r="F2" s="8">
        <v>120000.0</v>
      </c>
      <c r="G2" s="11" t="s">
        <v>77</v>
      </c>
      <c r="H2" s="16" t="s">
        <v>15</v>
      </c>
      <c r="I2" s="11" t="s">
        <v>16</v>
      </c>
      <c r="J2" s="18" t="s">
        <v>78</v>
      </c>
    </row>
    <row r="3" ht="72.0" customHeight="1">
      <c r="A3" s="5" t="s">
        <v>18</v>
      </c>
      <c r="B3" s="11" t="s">
        <v>79</v>
      </c>
      <c r="C3" s="11" t="s">
        <v>20</v>
      </c>
      <c r="D3" s="18" t="s">
        <v>80</v>
      </c>
      <c r="E3" s="19">
        <v>220000.0</v>
      </c>
      <c r="F3" s="19">
        <v>220000.0</v>
      </c>
      <c r="G3" s="11" t="s">
        <v>72</v>
      </c>
      <c r="H3" s="16" t="s">
        <v>15</v>
      </c>
      <c r="I3" s="11" t="s">
        <v>16</v>
      </c>
      <c r="J3" s="18" t="s">
        <v>81</v>
      </c>
    </row>
    <row r="4" ht="84.0" customHeight="1">
      <c r="A4" s="5" t="s">
        <v>24</v>
      </c>
      <c r="B4" s="11" t="s">
        <v>82</v>
      </c>
      <c r="C4" s="11" t="s">
        <v>26</v>
      </c>
      <c r="D4" s="18" t="s">
        <v>83</v>
      </c>
      <c r="E4" s="19">
        <v>380000.0</v>
      </c>
      <c r="F4" s="19">
        <v>380000.0</v>
      </c>
      <c r="G4" s="11" t="s">
        <v>84</v>
      </c>
      <c r="H4" s="16" t="s">
        <v>15</v>
      </c>
      <c r="I4" s="11" t="s">
        <v>16</v>
      </c>
      <c r="J4" s="20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3.29"/>
    <col customWidth="1" min="3" max="3" width="22.57"/>
    <col customWidth="1" min="4" max="4" width="24.14"/>
    <col customWidth="1" min="5" max="5" width="19.29"/>
    <col customWidth="1" min="6" max="6" width="21.57"/>
    <col customWidth="1" min="7" max="7" width="22.14"/>
    <col customWidth="1" min="8" max="8" width="17.29"/>
    <col customWidth="1" min="9" max="9" width="17.71"/>
    <col customWidth="1" min="10" max="26" width="10.71"/>
  </cols>
  <sheetData>
    <row r="1" ht="10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86</v>
      </c>
      <c r="H1" s="2" t="s">
        <v>7</v>
      </c>
      <c r="I1" s="2" t="s">
        <v>8</v>
      </c>
    </row>
    <row r="2" ht="72.0" customHeight="1">
      <c r="A2" s="5" t="s">
        <v>10</v>
      </c>
      <c r="B2" s="11" t="s">
        <v>87</v>
      </c>
      <c r="C2" s="11" t="s">
        <v>26</v>
      </c>
      <c r="D2" s="11" t="s">
        <v>88</v>
      </c>
      <c r="E2" s="8">
        <v>30000.0</v>
      </c>
      <c r="F2" s="8">
        <v>30000.0</v>
      </c>
      <c r="G2" s="16" t="s">
        <v>15</v>
      </c>
      <c r="H2" s="11" t="s">
        <v>16</v>
      </c>
      <c r="I2" s="11" t="s">
        <v>89</v>
      </c>
    </row>
    <row r="3" ht="72.0" customHeight="1">
      <c r="A3" s="5" t="s">
        <v>18</v>
      </c>
      <c r="B3" s="11" t="s">
        <v>90</v>
      </c>
      <c r="C3" s="11" t="s">
        <v>20</v>
      </c>
      <c r="D3" s="18" t="s">
        <v>91</v>
      </c>
      <c r="E3" s="19">
        <v>50000.0</v>
      </c>
      <c r="F3" s="19">
        <v>50000.0</v>
      </c>
      <c r="G3" s="16" t="s">
        <v>15</v>
      </c>
      <c r="H3" s="11" t="s">
        <v>16</v>
      </c>
      <c r="I3" s="11" t="s">
        <v>92</v>
      </c>
    </row>
    <row r="4" ht="72.0" customHeight="1">
      <c r="A4" s="5" t="s">
        <v>24</v>
      </c>
      <c r="B4" s="11" t="s">
        <v>93</v>
      </c>
      <c r="C4" s="11" t="s">
        <v>26</v>
      </c>
      <c r="D4" s="18" t="s">
        <v>94</v>
      </c>
      <c r="E4" s="19">
        <v>90000.0</v>
      </c>
      <c r="F4" s="19">
        <v>90000.0</v>
      </c>
      <c r="G4" s="16" t="s">
        <v>15</v>
      </c>
      <c r="H4" s="11" t="s">
        <v>16</v>
      </c>
      <c r="I4" s="11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9.29"/>
    <col customWidth="1" min="3" max="3" width="21.43"/>
    <col customWidth="1" min="4" max="4" width="20.29"/>
    <col customWidth="1" min="5" max="5" width="15.43"/>
    <col customWidth="1" min="6" max="6" width="17.43"/>
    <col customWidth="1" min="7" max="7" width="17.14"/>
    <col customWidth="1" min="8" max="8" width="21.43"/>
    <col customWidth="1" min="9" max="9" width="18.43"/>
    <col customWidth="1" min="10" max="10" width="20.14"/>
    <col customWidth="1" min="11" max="26" width="10.71"/>
  </cols>
  <sheetData>
    <row r="1" ht="12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96</v>
      </c>
      <c r="H1" s="2" t="s">
        <v>7</v>
      </c>
      <c r="I1" s="2" t="s">
        <v>8</v>
      </c>
      <c r="J1" s="2" t="s">
        <v>9</v>
      </c>
    </row>
    <row r="2" ht="72.0" customHeight="1">
      <c r="A2" s="5" t="s">
        <v>10</v>
      </c>
      <c r="B2" s="11" t="s">
        <v>87</v>
      </c>
      <c r="C2" s="11" t="s">
        <v>26</v>
      </c>
      <c r="D2" s="11" t="s">
        <v>97</v>
      </c>
      <c r="E2" s="8">
        <v>20000.0</v>
      </c>
      <c r="F2" s="8">
        <v>20000.0</v>
      </c>
      <c r="G2" s="11" t="s">
        <v>98</v>
      </c>
      <c r="H2" s="16" t="s">
        <v>15</v>
      </c>
      <c r="I2" s="11" t="s">
        <v>16</v>
      </c>
      <c r="J2" s="18" t="s">
        <v>99</v>
      </c>
    </row>
    <row r="3" ht="72.0" customHeight="1">
      <c r="A3" s="5" t="s">
        <v>18</v>
      </c>
      <c r="B3" s="11" t="s">
        <v>100</v>
      </c>
      <c r="C3" s="11" t="s">
        <v>20</v>
      </c>
      <c r="D3" s="18" t="s">
        <v>101</v>
      </c>
      <c r="E3" s="19">
        <v>35000.0</v>
      </c>
      <c r="F3" s="19">
        <v>35000.0</v>
      </c>
      <c r="G3" s="11" t="s">
        <v>102</v>
      </c>
      <c r="H3" s="16" t="s">
        <v>15</v>
      </c>
      <c r="I3" s="11" t="s">
        <v>16</v>
      </c>
      <c r="J3" s="18" t="s">
        <v>103</v>
      </c>
    </row>
    <row r="4" ht="72.0" customHeight="1">
      <c r="A4" s="5" t="s">
        <v>24</v>
      </c>
      <c r="B4" s="11" t="s">
        <v>93</v>
      </c>
      <c r="C4" s="11" t="s">
        <v>26</v>
      </c>
      <c r="D4" s="18" t="s">
        <v>104</v>
      </c>
      <c r="E4" s="19">
        <v>80000.0</v>
      </c>
      <c r="F4" s="19">
        <v>80000.0</v>
      </c>
      <c r="G4" s="11" t="s">
        <v>64</v>
      </c>
      <c r="H4" s="16" t="s">
        <v>15</v>
      </c>
      <c r="I4" s="11" t="s">
        <v>16</v>
      </c>
      <c r="J4" s="20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1.29"/>
    <col customWidth="1" min="3" max="3" width="21.14"/>
    <col customWidth="1" min="4" max="4" width="25.14"/>
    <col customWidth="1" min="5" max="5" width="22.0"/>
    <col customWidth="1" min="6" max="6" width="24.86"/>
    <col customWidth="1" min="7" max="7" width="15.57"/>
    <col customWidth="1" min="8" max="8" width="17.0"/>
    <col customWidth="1" min="9" max="9" width="18.29"/>
    <col customWidth="1" min="10" max="10" width="19.57"/>
    <col customWidth="1" min="11" max="26" width="10.71"/>
  </cols>
  <sheetData>
    <row r="1" ht="101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106</v>
      </c>
      <c r="H1" s="2" t="s">
        <v>7</v>
      </c>
      <c r="I1" s="2" t="s">
        <v>8</v>
      </c>
      <c r="J1" s="2" t="s">
        <v>9</v>
      </c>
    </row>
    <row r="2" ht="72.0" customHeight="1">
      <c r="A2" s="5" t="s">
        <v>10</v>
      </c>
      <c r="B2" s="11" t="s">
        <v>107</v>
      </c>
      <c r="C2" s="11" t="s">
        <v>26</v>
      </c>
      <c r="D2" s="11" t="s">
        <v>108</v>
      </c>
      <c r="E2" s="8">
        <v>100000.0</v>
      </c>
      <c r="F2" s="8">
        <v>100000.0</v>
      </c>
      <c r="G2" s="11" t="s">
        <v>109</v>
      </c>
      <c r="H2" s="16" t="s">
        <v>15</v>
      </c>
      <c r="I2" s="11" t="s">
        <v>16</v>
      </c>
      <c r="J2" s="18" t="s">
        <v>110</v>
      </c>
    </row>
    <row r="3" ht="72.0" customHeight="1">
      <c r="A3" s="5" t="s">
        <v>18</v>
      </c>
      <c r="B3" s="11" t="s">
        <v>111</v>
      </c>
      <c r="C3" s="11" t="s">
        <v>20</v>
      </c>
      <c r="D3" s="18" t="s">
        <v>112</v>
      </c>
      <c r="E3" s="19">
        <v>180000.0</v>
      </c>
      <c r="F3" s="19">
        <v>180000.0</v>
      </c>
      <c r="G3" s="11" t="s">
        <v>68</v>
      </c>
      <c r="H3" s="16" t="s">
        <v>15</v>
      </c>
      <c r="I3" s="11" t="s">
        <v>16</v>
      </c>
      <c r="J3" s="18" t="s">
        <v>113</v>
      </c>
    </row>
    <row r="4" ht="69.75" customHeight="1">
      <c r="A4" s="5" t="s">
        <v>24</v>
      </c>
      <c r="B4" s="11" t="s">
        <v>114</v>
      </c>
      <c r="C4" s="11" t="s">
        <v>26</v>
      </c>
      <c r="D4" s="18" t="s">
        <v>115</v>
      </c>
      <c r="E4" s="19">
        <v>500000.0</v>
      </c>
      <c r="F4" s="19">
        <v>500000.0</v>
      </c>
      <c r="G4" s="11" t="s">
        <v>116</v>
      </c>
      <c r="H4" s="16" t="s">
        <v>15</v>
      </c>
      <c r="I4" s="11" t="s">
        <v>16</v>
      </c>
      <c r="J4" s="20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1.86"/>
    <col customWidth="1" min="3" max="3" width="28.86"/>
    <col customWidth="1" min="4" max="4" width="23.86"/>
    <col customWidth="1" min="5" max="5" width="20.86"/>
    <col customWidth="1" min="6" max="6" width="23.29"/>
    <col customWidth="1" min="7" max="7" width="19.43"/>
    <col customWidth="1" min="8" max="8" width="20.86"/>
    <col customWidth="1" min="9" max="9" width="14.71"/>
    <col customWidth="1" min="10" max="10" width="17.86"/>
    <col customWidth="1" min="11" max="26" width="10.71"/>
  </cols>
  <sheetData>
    <row r="1" ht="131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118</v>
      </c>
      <c r="H1" s="2" t="s">
        <v>7</v>
      </c>
      <c r="I1" s="2" t="s">
        <v>8</v>
      </c>
      <c r="J1" s="2" t="s">
        <v>9</v>
      </c>
    </row>
    <row r="2" ht="72.0" customHeight="1">
      <c r="A2" s="5" t="s">
        <v>10</v>
      </c>
      <c r="B2" s="11" t="s">
        <v>119</v>
      </c>
      <c r="C2" s="11" t="s">
        <v>26</v>
      </c>
      <c r="D2" s="11" t="s">
        <v>120</v>
      </c>
      <c r="E2" s="8">
        <v>140000.0</v>
      </c>
      <c r="F2" s="8">
        <v>140000.0</v>
      </c>
      <c r="G2" s="11" t="s">
        <v>53</v>
      </c>
      <c r="H2" s="16" t="s">
        <v>15</v>
      </c>
      <c r="I2" s="11" t="s">
        <v>16</v>
      </c>
      <c r="J2" s="18" t="s">
        <v>121</v>
      </c>
    </row>
    <row r="3" ht="72.0" customHeight="1">
      <c r="A3" s="5" t="s">
        <v>18</v>
      </c>
      <c r="B3" s="11" t="s">
        <v>122</v>
      </c>
      <c r="C3" s="11" t="s">
        <v>20</v>
      </c>
      <c r="D3" s="18" t="s">
        <v>123</v>
      </c>
      <c r="E3" s="19">
        <v>180000.0</v>
      </c>
      <c r="F3" s="19">
        <v>180000.0</v>
      </c>
      <c r="G3" s="11" t="s">
        <v>68</v>
      </c>
      <c r="H3" s="16" t="s">
        <v>15</v>
      </c>
      <c r="I3" s="11" t="s">
        <v>16</v>
      </c>
      <c r="J3" s="18" t="s">
        <v>124</v>
      </c>
    </row>
    <row r="4" ht="72.0" customHeight="1">
      <c r="A4" s="5" t="s">
        <v>24</v>
      </c>
      <c r="B4" s="11" t="s">
        <v>125</v>
      </c>
      <c r="C4" s="11" t="s">
        <v>26</v>
      </c>
      <c r="D4" s="18" t="s">
        <v>126</v>
      </c>
      <c r="E4" s="19">
        <v>250000.0</v>
      </c>
      <c r="F4" s="19">
        <v>250000.0</v>
      </c>
      <c r="G4" s="11" t="s">
        <v>127</v>
      </c>
      <c r="H4" s="16" t="s">
        <v>15</v>
      </c>
      <c r="I4" s="11" t="s">
        <v>16</v>
      </c>
      <c r="J4" s="20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7.29"/>
    <col customWidth="1" min="3" max="3" width="21.57"/>
    <col customWidth="1" min="4" max="4" width="26.29"/>
    <col customWidth="1" min="5" max="5" width="18.43"/>
    <col customWidth="1" min="6" max="6" width="16.86"/>
    <col customWidth="1" min="7" max="7" width="19.43"/>
    <col customWidth="1" min="8" max="8" width="22.71"/>
    <col customWidth="1" min="9" max="9" width="17.86"/>
    <col customWidth="1" min="10" max="10" width="20.71"/>
    <col customWidth="1" min="11" max="26" width="10.71"/>
  </cols>
  <sheetData>
    <row r="1" ht="125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129</v>
      </c>
      <c r="H1" s="2" t="s">
        <v>7</v>
      </c>
      <c r="I1" s="2" t="s">
        <v>8</v>
      </c>
      <c r="J1" s="2" t="s">
        <v>9</v>
      </c>
    </row>
    <row r="2" ht="72.0" customHeight="1">
      <c r="A2" s="5" t="s">
        <v>10</v>
      </c>
      <c r="B2" s="11" t="s">
        <v>130</v>
      </c>
      <c r="C2" s="11" t="s">
        <v>131</v>
      </c>
      <c r="D2" s="18" t="s">
        <v>132</v>
      </c>
      <c r="E2" s="19">
        <v>80000.0</v>
      </c>
      <c r="F2" s="19">
        <v>80000.0</v>
      </c>
      <c r="G2" s="11" t="s">
        <v>64</v>
      </c>
      <c r="H2" s="16" t="s">
        <v>15</v>
      </c>
      <c r="I2" s="11" t="s">
        <v>16</v>
      </c>
      <c r="J2" s="18" t="s">
        <v>133</v>
      </c>
    </row>
    <row r="3" ht="72.0" customHeight="1">
      <c r="A3" s="5" t="s">
        <v>18</v>
      </c>
      <c r="B3" s="11" t="s">
        <v>134</v>
      </c>
      <c r="C3" s="11" t="s">
        <v>20</v>
      </c>
      <c r="D3" s="18" t="s">
        <v>135</v>
      </c>
      <c r="E3" s="19">
        <v>400000.0</v>
      </c>
      <c r="F3" s="19">
        <v>400000.0</v>
      </c>
      <c r="G3" s="11" t="s">
        <v>41</v>
      </c>
      <c r="H3" s="16" t="s">
        <v>15</v>
      </c>
      <c r="I3" s="11" t="s">
        <v>16</v>
      </c>
      <c r="J3" s="18" t="s">
        <v>136</v>
      </c>
    </row>
    <row r="4" ht="72.0" customHeight="1">
      <c r="A4" s="5" t="s">
        <v>24</v>
      </c>
      <c r="B4" s="11" t="s">
        <v>137</v>
      </c>
      <c r="C4" s="11" t="s">
        <v>26</v>
      </c>
      <c r="D4" s="18" t="s">
        <v>138</v>
      </c>
      <c r="E4" s="19">
        <v>1200000.0</v>
      </c>
      <c r="F4" s="19">
        <v>1200000.0</v>
      </c>
      <c r="G4" s="11" t="s">
        <v>139</v>
      </c>
      <c r="H4" s="16" t="s">
        <v>15</v>
      </c>
      <c r="I4" s="11" t="s">
        <v>16</v>
      </c>
      <c r="J4" s="11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8.71"/>
    <col customWidth="1" min="3" max="3" width="17.14"/>
    <col customWidth="1" min="4" max="4" width="24.86"/>
    <col customWidth="1" min="5" max="5" width="18.71"/>
    <col customWidth="1" min="6" max="6" width="17.0"/>
    <col customWidth="1" min="7" max="7" width="20.57"/>
    <col customWidth="1" min="8" max="8" width="18.71"/>
    <col customWidth="1" min="9" max="9" width="19.14"/>
    <col customWidth="1" min="10" max="10" width="18.29"/>
    <col customWidth="1" min="11" max="26" width="10.71"/>
  </cols>
  <sheetData>
    <row r="1" ht="113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141</v>
      </c>
      <c r="H1" s="2" t="s">
        <v>7</v>
      </c>
      <c r="I1" s="2" t="s">
        <v>8</v>
      </c>
      <c r="J1" s="2" t="s">
        <v>9</v>
      </c>
    </row>
    <row r="2" ht="72.0" customHeight="1">
      <c r="A2" s="5" t="s">
        <v>10</v>
      </c>
      <c r="B2" s="11" t="s">
        <v>142</v>
      </c>
      <c r="C2" s="11" t="s">
        <v>12</v>
      </c>
      <c r="D2" s="18" t="s">
        <v>143</v>
      </c>
      <c r="E2" s="19">
        <v>50000.0</v>
      </c>
      <c r="F2" s="19">
        <v>50000.0</v>
      </c>
      <c r="G2" s="11" t="s">
        <v>144</v>
      </c>
      <c r="H2" s="16" t="s">
        <v>15</v>
      </c>
      <c r="I2" s="11" t="s">
        <v>16</v>
      </c>
      <c r="J2" s="18" t="s">
        <v>145</v>
      </c>
    </row>
    <row r="3" ht="72.0" customHeight="1">
      <c r="A3" s="5" t="s">
        <v>18</v>
      </c>
      <c r="B3" s="11" t="s">
        <v>146</v>
      </c>
      <c r="C3" s="11" t="s">
        <v>147</v>
      </c>
      <c r="D3" s="18" t="s">
        <v>148</v>
      </c>
      <c r="E3" s="19">
        <v>150000.0</v>
      </c>
      <c r="F3" s="19">
        <v>150000.0</v>
      </c>
      <c r="G3" s="11" t="s">
        <v>149</v>
      </c>
      <c r="H3" s="16" t="s">
        <v>15</v>
      </c>
      <c r="I3" s="11" t="s">
        <v>16</v>
      </c>
      <c r="J3" s="18" t="s">
        <v>150</v>
      </c>
    </row>
    <row r="4" ht="72.0" customHeight="1">
      <c r="A4" s="5" t="s">
        <v>24</v>
      </c>
      <c r="B4" s="11" t="s">
        <v>151</v>
      </c>
      <c r="C4" s="11" t="s">
        <v>26</v>
      </c>
      <c r="D4" s="18" t="s">
        <v>152</v>
      </c>
      <c r="E4" s="19">
        <v>750000.0</v>
      </c>
      <c r="F4" s="19">
        <v>750000.0</v>
      </c>
      <c r="G4" s="11" t="s">
        <v>153</v>
      </c>
      <c r="H4" s="16" t="s">
        <v>15</v>
      </c>
      <c r="I4" s="11" t="s">
        <v>16</v>
      </c>
      <c r="J4" s="11" t="s">
        <v>154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7.57"/>
    <col customWidth="1" min="3" max="3" width="18.86"/>
    <col customWidth="1" min="4" max="4" width="24.57"/>
    <col customWidth="1" min="5" max="5" width="21.0"/>
    <col customWidth="1" min="6" max="6" width="17.57"/>
    <col customWidth="1" min="7" max="7" width="20.29"/>
    <col customWidth="1" min="8" max="8" width="21.14"/>
    <col customWidth="1" min="9" max="9" width="19.43"/>
    <col customWidth="1" min="10" max="10" width="23.43"/>
    <col customWidth="1" min="11" max="26" width="10.71"/>
  </cols>
  <sheetData>
    <row r="1" ht="12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155</v>
      </c>
      <c r="H1" s="2" t="s">
        <v>7</v>
      </c>
      <c r="I1" s="2" t="s">
        <v>8</v>
      </c>
      <c r="J1" s="2" t="s">
        <v>9</v>
      </c>
    </row>
    <row r="2" ht="72.0" customHeight="1">
      <c r="A2" s="5" t="s">
        <v>10</v>
      </c>
      <c r="B2" s="11" t="s">
        <v>142</v>
      </c>
      <c r="C2" s="11" t="s">
        <v>12</v>
      </c>
      <c r="D2" s="11" t="s">
        <v>156</v>
      </c>
      <c r="E2" s="8">
        <v>120000.0</v>
      </c>
      <c r="F2" s="8">
        <v>120000.0</v>
      </c>
      <c r="G2" s="11" t="s">
        <v>77</v>
      </c>
      <c r="H2" s="16" t="s">
        <v>15</v>
      </c>
      <c r="I2" s="11" t="s">
        <v>16</v>
      </c>
      <c r="J2" s="11" t="s">
        <v>157</v>
      </c>
    </row>
    <row r="3" ht="72.0" customHeight="1">
      <c r="A3" s="5" t="s">
        <v>18</v>
      </c>
      <c r="B3" s="11" t="s">
        <v>146</v>
      </c>
      <c r="C3" s="11" t="s">
        <v>158</v>
      </c>
      <c r="D3" s="11" t="s">
        <v>159</v>
      </c>
      <c r="E3" s="8">
        <v>600000.0</v>
      </c>
      <c r="F3" s="8">
        <v>600000.0</v>
      </c>
      <c r="G3" s="11" t="s">
        <v>160</v>
      </c>
      <c r="H3" s="16" t="s">
        <v>15</v>
      </c>
      <c r="I3" s="11" t="s">
        <v>16</v>
      </c>
      <c r="J3" s="11" t="s">
        <v>161</v>
      </c>
    </row>
    <row r="4" ht="72.0" customHeight="1">
      <c r="A4" s="5" t="s">
        <v>24</v>
      </c>
      <c r="B4" s="11" t="s">
        <v>162</v>
      </c>
      <c r="C4" s="11" t="s">
        <v>26</v>
      </c>
      <c r="D4" s="18" t="s">
        <v>163</v>
      </c>
      <c r="E4" s="19">
        <v>1500000.0</v>
      </c>
      <c r="F4" s="19">
        <v>1500000.0</v>
      </c>
      <c r="G4" s="11" t="s">
        <v>164</v>
      </c>
      <c r="H4" s="16" t="s">
        <v>15</v>
      </c>
      <c r="I4" s="11" t="s">
        <v>16</v>
      </c>
      <c r="J4" s="18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4.29"/>
    <col customWidth="1" min="3" max="3" width="27.57"/>
    <col customWidth="1" min="4" max="4" width="44.43"/>
    <col customWidth="1" min="5" max="5" width="24.0"/>
    <col customWidth="1" min="9" max="9" width="29.14"/>
    <col customWidth="1" min="10" max="10" width="25.29"/>
    <col customWidth="1" min="11" max="11" width="29.43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4" t="s">
        <v>166</v>
      </c>
      <c r="G1" s="2" t="s">
        <v>7</v>
      </c>
      <c r="H1" s="2" t="s">
        <v>8</v>
      </c>
      <c r="I1" s="21" t="s">
        <v>167</v>
      </c>
      <c r="J1" s="22" t="s">
        <v>168</v>
      </c>
      <c r="K1" s="22" t="s">
        <v>169</v>
      </c>
    </row>
    <row r="2">
      <c r="A2" s="5" t="s">
        <v>10</v>
      </c>
      <c r="B2" s="11" t="s">
        <v>12</v>
      </c>
      <c r="C2" s="23" t="s">
        <v>170</v>
      </c>
      <c r="D2" s="8">
        <f>Torre!E2+Monitor!E2+'Disco Solido'!E2+'Disco Interno '!E2+RAM!E2+Teclado!E2+Mouse!E2+Pistola!E2+Cajon!E2+'Licencia Software'!E2+'Windows 11'!E2+'Licencia SQL'!E2</f>
        <v>1510000</v>
      </c>
      <c r="E2" s="8">
        <f>Torre!E2+Monitor!E2+'Disco Solido'!E2+'Disco Interno '!E2+RAM!E2+Teclado!E2+Mouse!E2+Pistola!E2+Cajon!E2+'Licencia Software'!E2+'Windows 11'!E2+'Licencia SQL'!E2</f>
        <v>1510000</v>
      </c>
      <c r="F2" s="24" t="s">
        <v>171</v>
      </c>
      <c r="G2" s="16" t="s">
        <v>15</v>
      </c>
      <c r="H2" s="11" t="s">
        <v>16</v>
      </c>
      <c r="I2" s="25">
        <v>3000000.0</v>
      </c>
      <c r="J2" s="26">
        <v>3500000.0</v>
      </c>
      <c r="K2" s="26">
        <f t="shared" ref="K2:K4" si="1">E2+I2+J2</f>
        <v>8010000</v>
      </c>
    </row>
    <row r="3">
      <c r="A3" s="5" t="s">
        <v>18</v>
      </c>
      <c r="B3" s="11" t="s">
        <v>158</v>
      </c>
      <c r="C3" s="23" t="s">
        <v>170</v>
      </c>
      <c r="D3" s="8">
        <f>Torre!E3+Monitor!E3+'Disco Solido'!E3+'Disco Interno '!E3+RAM!E3+Teclado!E3+Mouse!E3+Pistola!E3+Cajon!E3+'Licencia Software'!E3+'Windows 11'!E3+'Licencia SQL'!E3</f>
        <v>3845000</v>
      </c>
      <c r="E3" s="8">
        <f>Torre!E3+Monitor!E3+'Disco Solido'!E3+'Disco Interno '!E3+RAM!E3+Teclado!E3+Mouse!E3+Pistola!E3+Cajon!E3+'Licencia Software'!E3+'Windows 11'!E3+'Licencia SQL'!E3</f>
        <v>3845000</v>
      </c>
      <c r="F3" s="23" t="s">
        <v>172</v>
      </c>
      <c r="G3" s="16" t="s">
        <v>15</v>
      </c>
      <c r="H3" s="11" t="s">
        <v>16</v>
      </c>
      <c r="I3" s="25">
        <v>3000000.0</v>
      </c>
      <c r="J3" s="26">
        <v>3500000.0</v>
      </c>
      <c r="K3" s="26">
        <f t="shared" si="1"/>
        <v>10345000</v>
      </c>
    </row>
    <row r="4">
      <c r="A4" s="5" t="s">
        <v>24</v>
      </c>
      <c r="B4" s="11" t="s">
        <v>26</v>
      </c>
      <c r="C4" s="23" t="s">
        <v>170</v>
      </c>
      <c r="D4" s="8">
        <f>Torre!E4+Monitor!E4+'Disco Solido'!E4+'Disco Interno '!E4+RAM!E4+Teclado!E4+Mouse!E4+Pistola!E4+Cajon!E4+'Licencia Software'!E4+'Windows 11'!E4+'Licencia SQL'!E4</f>
        <v>7670000</v>
      </c>
      <c r="E4" s="19">
        <f>Torre!E4+Monitor!E4+'Disco Solido'!E4+'Disco Interno '!E4+RAM!E4+Teclado!E4+Mouse!E4+Pistola!E4+Cajon!E4+'Licencia Software'!E4+'Windows 11'!E4+'Licencia SQL'!E4</f>
        <v>7670000</v>
      </c>
      <c r="F4" s="23" t="s">
        <v>173</v>
      </c>
      <c r="G4" s="16" t="s">
        <v>15</v>
      </c>
      <c r="H4" s="11" t="s">
        <v>16</v>
      </c>
      <c r="I4" s="25">
        <v>3000000.0</v>
      </c>
      <c r="J4" s="26">
        <v>3500000.0</v>
      </c>
      <c r="K4" s="26">
        <f t="shared" si="1"/>
        <v>14170000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2026-03-20T01:19:57Z</dcterms:created>
  <dc:creator>user</dc:creator>
</cp:coreProperties>
</file>